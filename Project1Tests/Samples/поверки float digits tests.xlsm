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enis\Desktop\MKAIR\Project1\Receiver.UnitTests\Samples\"/>
    </mc:Choice>
  </mc:AlternateContent>
  <bookViews>
    <workbookView xWindow="-120" yWindow="-120" windowWidth="25440" windowHeight="15396" tabRatio="494"/>
  </bookViews>
  <sheets>
    <sheet name="Excel" sheetId="1" r:id="rId1"/>
    <sheet name="XML" sheetId="2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C1" i="2" l="1"/>
  <c r="A1" i="2" s="1"/>
</calcChain>
</file>

<file path=xl/sharedStrings.xml><?xml version="1.0" encoding="utf-8"?>
<sst xmlns="http://schemas.openxmlformats.org/spreadsheetml/2006/main" count="71" uniqueCount="44">
  <si>
    <t>Обозначение СИ</t>
  </si>
  <si>
    <t>Заводской номер</t>
  </si>
  <si>
    <t>Модификация</t>
  </si>
  <si>
    <t>Год выпуска</t>
  </si>
  <si>
    <t>Владелец СИ</t>
  </si>
  <si>
    <t>Дата поверки</t>
  </si>
  <si>
    <t>Действительно до</t>
  </si>
  <si>
    <t>Вид поверки</t>
  </si>
  <si>
    <t>Методика поверки</t>
  </si>
  <si>
    <t>СИ, применяемые в качестве эталона</t>
  </si>
  <si>
    <t>Прочие сведения</t>
  </si>
  <si>
    <t>Поверитель</t>
  </si>
  <si>
    <t>Температура</t>
  </si>
  <si>
    <t>Давление</t>
  </si>
  <si>
    <t>Влажность</t>
  </si>
  <si>
    <t>периодическая</t>
  </si>
  <si>
    <t>МИ 2124-90</t>
  </si>
  <si>
    <t>77090.19.2Р.00761950</t>
  </si>
  <si>
    <t>77090.19.1Р.00761951</t>
  </si>
  <si>
    <t>МП4-УУ2</t>
  </si>
  <si>
    <t>55984-13</t>
  </si>
  <si>
    <t>233.50.160</t>
  </si>
  <si>
    <t>2013</t>
  </si>
  <si>
    <t>2014</t>
  </si>
  <si>
    <t>(0 - 1) МПа</t>
  </si>
  <si>
    <t>10135-10</t>
  </si>
  <si>
    <t>(0 - 16) кгс/см²</t>
  </si>
  <si>
    <t>(0 - 6) кгс/см²</t>
  </si>
  <si>
    <t>ООО "РИ-ИНВЕСТ"</t>
  </si>
  <si>
    <t>2006</t>
  </si>
  <si>
    <t>39%</t>
  </si>
  <si>
    <t>4041-93</t>
  </si>
  <si>
    <t>98,9 кПа</t>
  </si>
  <si>
    <t>23,1°С</t>
  </si>
  <si>
    <t>ДМ2005СгlExУ3</t>
  </si>
  <si>
    <t>класс точности</t>
  </si>
  <si>
    <t>CL.1.0</t>
  </si>
  <si>
    <t>15991</t>
  </si>
  <si>
    <t>Большаков С.Н.</t>
  </si>
  <si>
    <t>1511346</t>
  </si>
  <si>
    <t>04442</t>
  </si>
  <si>
    <t>1.5</t>
  </si>
  <si>
    <t>00422</t>
  </si>
  <si>
    <t>CL.1,5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</si>
</sst>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Border="0" applyAlignment="0"/>
    <xf numFmtId="0" fontId="20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5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Fill="1" applyBorder="1" applyAlignment="1">
      <alignment horizontal="center" vertical="center"/>
    </xf>
    <xf numFmtId="49" fontId="23" fillId="0" borderId="0" xfId="0" applyNumberFormat="1" applyFont="1" applyFill="1" applyBorder="1" applyAlignment="1" applyProtection="1">
      <alignment horizontal="center" vertical="center"/>
      <protection locked="0"/>
    </xf>
    <xf numFmtId="49" fontId="23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14" fontId="23" fillId="0" borderId="0" xfId="0" applyNumberFormat="1" applyFont="1" applyFill="1" applyBorder="1" applyAlignment="1" applyProtection="1">
      <alignment horizontal="center" vertical="center"/>
      <protection locked="0"/>
    </xf>
    <xf numFmtId="14" fontId="23" fillId="0" borderId="0" xfId="0" applyNumberFormat="1" applyFont="1" applyFill="1" applyBorder="1" applyAlignment="1">
      <alignment horizontal="center" vertical="center"/>
    </xf>
    <xf numFmtId="49" fontId="23" fillId="0" borderId="0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>
      <alignment horizontal="center" vertical="center" wrapText="1"/>
    </xf>
    <xf numFmtId="49" fontId="16" fillId="33" borderId="10" xfId="0" applyNumberFormat="1" applyFont="1" applyFill="1" applyBorder="1" applyAlignment="1" applyProtection="1">
      <alignment horizontal="center" vertical="center"/>
      <protection locked="0"/>
    </xf>
    <xf numFmtId="1" fontId="16" fillId="33" borderId="10" xfId="0" applyNumberFormat="1" applyFont="1" applyFill="1" applyBorder="1" applyAlignment="1" applyProtection="1">
      <alignment horizontal="center" vertical="center"/>
      <protection locked="0"/>
    </xf>
    <xf numFmtId="0" fontId="16" fillId="33" borderId="10" xfId="0" applyFont="1" applyFill="1" applyBorder="1" applyAlignment="1" applyProtection="1">
      <alignment horizontal="center" vertical="center"/>
      <protection locked="0"/>
    </xf>
    <xf numFmtId="14" fontId="16" fillId="33" borderId="10" xfId="0" applyNumberFormat="1" applyFont="1" applyFill="1" applyBorder="1" applyAlignment="1" applyProtection="1">
      <alignment horizontal="center" vertical="center"/>
      <protection locked="0"/>
    </xf>
    <xf numFmtId="14" fontId="16" fillId="33" borderId="10" xfId="0" applyNumberFormat="1" applyFont="1" applyFill="1" applyBorder="1" applyAlignment="1" applyProtection="1">
      <alignment horizontal="center" vertical="center" wrapText="1"/>
      <protection locked="0"/>
    </xf>
    <xf numFmtId="0" fontId="16" fillId="33" borderId="11" xfId="0" applyFont="1" applyFill="1" applyBorder="1" applyAlignment="1" applyProtection="1">
      <alignment horizontal="center" vertical="center"/>
      <protection locked="0"/>
    </xf>
    <xf numFmtId="49" fontId="23" fillId="0" borderId="0" xfId="80" applyNumberFormat="1" applyFont="1" applyFill="1" applyBorder="1" applyAlignment="1">
      <alignment horizontal="center" vertical="center"/>
    </xf>
    <xf numFmtId="0" fontId="23" fillId="0" borderId="0" xfId="81" applyFont="1" applyFill="1" applyBorder="1" applyAlignment="1">
      <alignment horizontal="center" vertical="center" wrapText="1"/>
    </xf>
  </cellXfs>
  <cellStyles count="8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10 5 9" xfId="68"/>
    <cellStyle name="Обычный 2" xfId="42"/>
    <cellStyle name="Обычный 2 2" xfId="51"/>
    <cellStyle name="Обычный 2 2 2" xfId="72"/>
    <cellStyle name="Обычный 2 3" xfId="52"/>
    <cellStyle name="Обычный 2 4" xfId="73"/>
    <cellStyle name="Обычный 2 4 2" xfId="74"/>
    <cellStyle name="Обычный 2 4 2 2" xfId="76"/>
    <cellStyle name="Обычный 2 4 2 2 3" xfId="78"/>
    <cellStyle name="Обычный 2 4 2 9" xfId="77"/>
    <cellStyle name="Обычный 2 4 2 9 10" xfId="80"/>
    <cellStyle name="Обычный 2 4 2 9 2" xfId="81"/>
    <cellStyle name="Обычный 20" xfId="64"/>
    <cellStyle name="Обычный 3" xfId="45"/>
    <cellStyle name="Обычный 3 10" xfId="58"/>
    <cellStyle name="Обычный 3 11" xfId="60"/>
    <cellStyle name="Обычный 3 12" xfId="63"/>
    <cellStyle name="Обычный 3 13" xfId="65"/>
    <cellStyle name="Обычный 3 14" xfId="67"/>
    <cellStyle name="Обычный 3 15" xfId="75"/>
    <cellStyle name="Обычный 3 2" xfId="46"/>
    <cellStyle name="Обычный 3 2 2" xfId="71"/>
    <cellStyle name="Обычный 3 3" xfId="48"/>
    <cellStyle name="Обычный 3 4" xfId="49"/>
    <cellStyle name="Обычный 3 5" xfId="44"/>
    <cellStyle name="Обычный 3 6" xfId="53"/>
    <cellStyle name="Обычный 3 7" xfId="54"/>
    <cellStyle name="Обычный 3 8" xfId="56"/>
    <cellStyle name="Обычный 3 9" xfId="57"/>
    <cellStyle name="Обычный 4" xfId="61"/>
    <cellStyle name="Обычный 4 2" xfId="62"/>
    <cellStyle name="Обычный 4 3" xfId="66"/>
    <cellStyle name="Обычный 4 32" xfId="79"/>
    <cellStyle name="Обычный 4 4" xfId="69"/>
    <cellStyle name="Обычный 5" xfId="47"/>
    <cellStyle name="Обычный 6" xfId="50"/>
    <cellStyle name="Обычный 6 2" xfId="55"/>
    <cellStyle name="Обычный 7" xfId="43"/>
    <cellStyle name="Обычный 7 2" xfId="70"/>
    <cellStyle name="Обычный 8" xfId="59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541020</xdr:colOff>
          <xdr:row>6</xdr:row>
          <xdr:rowOff>0</xdr:rowOff>
        </xdr:from>
        <xdr:to>
          <xdr:col>9</xdr:col>
          <xdr:colOff>541020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в xml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P5" totalsRowShown="0" headerRowDxfId="17" dataDxfId="0" tableBorderDxfId="18">
  <autoFilter ref="A1:P5"/>
  <tableColumns count="16">
    <tableColumn id="1" name="Обозначение СИ" dataDxfId="16"/>
    <tableColumn id="2" name="Заводской номер" dataDxfId="15" dataCellStyle="Обычный 2 4 2 9 10"/>
    <tableColumn id="3" name="Модификация" dataDxfId="14" dataCellStyle="Обычный 2 4 2 9 2"/>
    <tableColumn id="4" name="Год выпуска" dataDxfId="13"/>
    <tableColumn id="5" name="Владелец СИ" dataDxfId="12"/>
    <tableColumn id="6" name="Дата поверки" dataDxfId="11"/>
    <tableColumn id="7" name="Действительно до" dataDxfId="10"/>
    <tableColumn id="8" name="Вид поверки" dataDxfId="9"/>
    <tableColumn id="9" name="Методика поверки" dataDxfId="8"/>
    <tableColumn id="10" name="СИ, применяемые в качестве эталона" dataDxfId="7"/>
    <tableColumn id="11" name="Прочие сведения" dataDxfId="6"/>
    <tableColumn id="12" name="Поверитель" dataDxfId="5"/>
    <tableColumn id="13" name="Температура" dataDxfId="4"/>
    <tableColumn id="14" name="Давление" dataDxfId="3"/>
    <tableColumn id="15" name="Влажность" dataDxfId="2"/>
    <tableColumn id="16" name="класс точности" dataDxfId="1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P5"/>
  <sheetViews>
    <sheetView tabSelected="1" topLeftCell="F1" zoomScaleNormal="100" workbookViewId="0">
      <selection activeCell="P10" sqref="P10"/>
    </sheetView>
  </sheetViews>
  <sheetFormatPr defaultColWidth="9.109375" defaultRowHeight="14.4" x14ac:dyDescent="0.3"/>
  <cols>
    <col min="1" max="1" width="38" style="3" customWidth="1"/>
    <col min="2" max="2" width="18.6640625" style="3" customWidth="1"/>
    <col min="3" max="3" width="20.44140625" style="3" customWidth="1"/>
    <col min="4" max="4" width="16" style="4" customWidth="1"/>
    <col min="5" max="5" width="21.6640625" style="5" customWidth="1"/>
    <col min="6" max="6" width="15.5546875" style="6" customWidth="1"/>
    <col min="7" max="7" width="26.88671875" style="6" customWidth="1"/>
    <col min="8" max="8" width="22.6640625" style="3" customWidth="1"/>
    <col min="9" max="9" width="22.6640625" style="5" customWidth="1"/>
    <col min="10" max="10" width="41.6640625" style="2" customWidth="1"/>
    <col min="11" max="11" width="20.88671875" style="2" customWidth="1"/>
    <col min="12" max="12" width="20.88671875" style="7" customWidth="1"/>
    <col min="13" max="13" width="19.109375" style="2" customWidth="1"/>
    <col min="14" max="14" width="17.5546875" style="2" customWidth="1"/>
    <col min="15" max="15" width="16.44140625" style="2" customWidth="1"/>
    <col min="16" max="16" width="42" style="2" customWidth="1"/>
    <col min="17" max="16384" width="9.109375" style="2"/>
  </cols>
  <sheetData>
    <row r="1" spans="1:16" ht="15" customHeight="1" x14ac:dyDescent="0.3">
      <c r="A1" s="17" t="s">
        <v>0</v>
      </c>
      <c r="B1" s="17" t="s">
        <v>1</v>
      </c>
      <c r="C1" s="17" t="s">
        <v>2</v>
      </c>
      <c r="D1" s="18" t="s">
        <v>3</v>
      </c>
      <c r="E1" s="19" t="s">
        <v>4</v>
      </c>
      <c r="F1" s="20" t="s">
        <v>5</v>
      </c>
      <c r="G1" s="21" t="s">
        <v>6</v>
      </c>
      <c r="H1" s="17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22" t="s">
        <v>35</v>
      </c>
    </row>
    <row r="2" spans="1:16" s="15" customFormat="1" x14ac:dyDescent="0.3">
      <c r="A2" s="8" t="s">
        <v>31</v>
      </c>
      <c r="B2" s="23" t="s">
        <v>37</v>
      </c>
      <c r="C2" s="24" t="s">
        <v>34</v>
      </c>
      <c r="D2" s="10" t="s">
        <v>29</v>
      </c>
      <c r="E2" s="11" t="s">
        <v>28</v>
      </c>
      <c r="F2" s="12">
        <v>45722</v>
      </c>
      <c r="G2" s="13">
        <v>46086</v>
      </c>
      <c r="H2" s="9" t="s">
        <v>15</v>
      </c>
      <c r="I2" s="8" t="s">
        <v>16</v>
      </c>
      <c r="J2" s="11" t="s">
        <v>17</v>
      </c>
      <c r="K2" s="10" t="s">
        <v>26</v>
      </c>
      <c r="L2" s="11" t="s">
        <v>38</v>
      </c>
      <c r="M2" s="11" t="s">
        <v>33</v>
      </c>
      <c r="N2" s="11" t="s">
        <v>32</v>
      </c>
      <c r="O2" s="9" t="s">
        <v>30</v>
      </c>
      <c r="P2" s="9">
        <v>1.5</v>
      </c>
    </row>
    <row r="3" spans="1:16" s="11" customFormat="1" x14ac:dyDescent="0.3">
      <c r="A3" s="8" t="s">
        <v>31</v>
      </c>
      <c r="B3" s="23" t="s">
        <v>39</v>
      </c>
      <c r="C3" s="24" t="s">
        <v>34</v>
      </c>
      <c r="D3" s="10" t="s">
        <v>22</v>
      </c>
      <c r="E3" s="11" t="s">
        <v>28</v>
      </c>
      <c r="F3" s="12">
        <v>45722</v>
      </c>
      <c r="G3" s="13">
        <v>46086</v>
      </c>
      <c r="H3" s="9" t="s">
        <v>15</v>
      </c>
      <c r="I3" s="8" t="s">
        <v>16</v>
      </c>
      <c r="J3" s="11" t="s">
        <v>17</v>
      </c>
      <c r="K3" s="10" t="s">
        <v>26</v>
      </c>
      <c r="L3" s="11" t="s">
        <v>38</v>
      </c>
      <c r="M3" s="11" t="s">
        <v>33</v>
      </c>
      <c r="N3" s="11" t="s">
        <v>32</v>
      </c>
      <c r="O3" s="9" t="s">
        <v>30</v>
      </c>
      <c r="P3" s="9" t="s">
        <v>41</v>
      </c>
    </row>
    <row r="4" spans="1:16" x14ac:dyDescent="0.3">
      <c r="A4" s="8" t="s">
        <v>20</v>
      </c>
      <c r="B4" s="10" t="s">
        <v>40</v>
      </c>
      <c r="C4" s="14" t="s">
        <v>21</v>
      </c>
      <c r="D4" s="10" t="s">
        <v>22</v>
      </c>
      <c r="E4" s="11" t="s">
        <v>28</v>
      </c>
      <c r="F4" s="12">
        <v>45722</v>
      </c>
      <c r="G4" s="13">
        <v>46451</v>
      </c>
      <c r="H4" s="9" t="s">
        <v>15</v>
      </c>
      <c r="I4" s="8" t="s">
        <v>16</v>
      </c>
      <c r="J4" s="11" t="s">
        <v>18</v>
      </c>
      <c r="K4" s="10" t="s">
        <v>24</v>
      </c>
      <c r="L4" s="11" t="s">
        <v>38</v>
      </c>
      <c r="M4" s="11" t="s">
        <v>33</v>
      </c>
      <c r="N4" s="11" t="s">
        <v>32</v>
      </c>
      <c r="O4" s="9" t="s">
        <v>30</v>
      </c>
      <c r="P4" s="8" t="s">
        <v>36</v>
      </c>
    </row>
    <row r="5" spans="1:16" x14ac:dyDescent="0.3">
      <c r="A5" s="8" t="s">
        <v>25</v>
      </c>
      <c r="B5" s="10" t="s">
        <v>42</v>
      </c>
      <c r="C5" s="16" t="s">
        <v>19</v>
      </c>
      <c r="D5" s="10" t="s">
        <v>23</v>
      </c>
      <c r="E5" s="11" t="s">
        <v>28</v>
      </c>
      <c r="F5" s="12">
        <v>45722</v>
      </c>
      <c r="G5" s="13">
        <v>46086</v>
      </c>
      <c r="H5" s="9" t="s">
        <v>15</v>
      </c>
      <c r="I5" s="8" t="s">
        <v>16</v>
      </c>
      <c r="J5" s="11" t="s">
        <v>18</v>
      </c>
      <c r="K5" s="10" t="s">
        <v>27</v>
      </c>
      <c r="L5" s="11" t="s">
        <v>38</v>
      </c>
      <c r="M5" s="11" t="s">
        <v>33</v>
      </c>
      <c r="N5" s="11" t="s">
        <v>32</v>
      </c>
      <c r="O5" s="9" t="s">
        <v>30</v>
      </c>
      <c r="P5" s="9" t="s">
        <v>43</v>
      </c>
    </row>
  </sheetData>
  <sheetProtection formatCells="0" formatColumns="0" formatRows="0" insertColumns="0" insertRows="0" insertHyperlinks="0" sort="0" autoFilter="0" pivotTables="0"/>
  <phoneticPr fontId="2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J10"/>
  <sheetViews>
    <sheetView workbookViewId="0">
      <selection activeCell="A2" sqref="A2"/>
    </sheetView>
  </sheetViews>
  <sheetFormatPr defaultRowHeight="14.4" x14ac:dyDescent="0.3"/>
  <cols>
    <col min="1" max="1" width="11.88671875" customWidth="1"/>
    <col min="2" max="2" width="9.88671875" bestFit="1" customWidth="1"/>
  </cols>
  <sheetData>
    <row r="1" spans="1:10" x14ac:dyDescent="0.3">
      <c r="A1" t="e">
        <f>CONCATENATE(B1,C1)</f>
        <v>#REF!</v>
      </c>
      <c r="B1" t="e">
        <f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&lt;gost:miInfo&gt;",CHAR(10),IF((Excel!#REF!=0)*AND(Excel!#REF!=0,Excel!#REF!=0,OR(Excel!#REF!&lt;&gt;0,Excel!#REF!&lt;&gt;0)),CONCATENATE("            &lt;gost:singleMI&gt;",CHAR(10),IF(Excel!#REF!="да",CONCATENATE("                &lt;gost:milmitypeTitle&gt;",Excel!#REF!,"&lt;/gost:milmitypeTitle&gt;"),IF(ISERR(LEFT(Excel!#REF!,1)+1),CONCATENATE("                &lt;gost:crtmitypeTitle&gt;",Excel!#REF!,"&lt;/gost:crtmitypeTitle&gt;"),CONCATENATE("                &lt;gost:mitypeNumber&gt;",Excel!#REF!,"&lt;/gost:mitypeNumber&gt;"))),CHAR(10),IF(Excel!#REF!=0,CONCATENATE("                &lt;gost:manufactureNum&gt;",Excel!#REF!,"&lt;/gost:manufactureNum&gt;"),CONCATENATE("                &lt;gost:inventoryNum&gt;",Excel!#REF!,"&lt;/gost:inventoryNum&gt;")),CHAR(10),IF(Excel!#REF!=0,"",CONCATENATE("                &lt;gost:manufactureYear&gt;",Excel!#REF!,"&lt;/gost:manufactureYear&gt;",CHAR(10))),"                &lt;gost:modification&gt;",Excel!#REF!,"&lt;/gost:modification&gt;",CHAR(10),"            &lt;/gost:singleMI&gt;"),CONCATENATE("            &lt;gost:etaMI&gt;",CHAR(10),IF((Excel!#REF!=0)*AND(Excel!#REF!=0),CONCATENATE("                &lt;gost:regNumber&gt;",Excel!#REF!,"&lt;/gost:regNumber&gt;"),CONCATENATE("                &lt;gost:primaryRec&gt;",CHAR(10),"                    &lt;gost:mitypeNumber&gt;",Excel!#REF!,"&lt;/gost:mitypeNumber&gt;",CHAR(10),"                    &lt;gost:modification&gt;",Excel!#REF!,"&lt;/gost:modification&gt;",CHAR(10),IF(Excel!#REF!=0,CONCATENATE("                    &lt;gost:manufactureNum&gt;",Excel!#REF!,"&lt;/gost:manufactureNum&gt;"),CONCATENATE("                    &lt;gost:inventoryNum&gt;",Excel!#REF!,"&lt;/gost:inventoryNum&gt;")),CHAR(10),"                    &lt;gost:manufactureYear&gt;",Excel!#REF!,"&lt;/gost:manufactureYear&gt;",CHAR(10),"                    &lt;gost:isOwner&gt;",Excel!#REF!,"&lt;/gost:isOwner&gt;",CHAR(10),IF(Excel!#REF!&lt;&gt;0,CONCATENATE("                    &lt;gost:gps&gt;",CHAR(10),"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&lt;/gost:gps&gt;"),IF(Excel!#REF!&lt;&gt;0,CONCATENATE("                    &lt;gost:lps&gt;",CHAR(10),"                        &lt;gost:title&gt;",Excel!#REF!,"&lt;/gost:title&gt;",CHAR(10),"                        &lt;gost:npeNumber&gt;",Excel!#REF!,"&lt;/gost:npeNumber&gt;",CHAR(10),"                        &lt;gost:rank&gt;",Excel!#REF!,"&lt;/gost:rank&gt;",CHAR(10),"                    &lt;/gost:lps&gt;"),CONCATENATE("                    &lt;gost:mp&gt;",CHAR(10),"                        &lt;gost:title&gt;",Excel!#REF!,"&lt;/gost:title&gt;",CHAR(10),"                    &lt;/gost:mp&gt;"))),CHAR(10),"                &lt;/gost:primaryRec&gt;")),CHAR(10),"            &lt;/gost:etaMI&gt;")),CHAR(10),"        &lt;/gost:miInfo&gt;",CHAR(10),"        &lt;gost:signCipher&gt;",Excel!#REF!,"&lt;/gost:signCipher&gt;",CHAR(10),IF(Excel!#REF!=0,"",CONCATENATE("        &lt;gost:miOwner&gt;",Excel!#REF!,"&lt;/gost:miOwner&gt;",CHAR(10))),"        &lt;gost:vrfDate&gt;",YEAR(Excel!#REF!),"-",IF(MONTH(Excel!#REF!)&lt;10,CONCATENATE(0,MONTH(Excel!#REF!)),MONTH(Excel!#REF!)),"-",IF(DAY(Excel!#REF!)&lt;10,CONCATENATE(0,DAY(Excel!#REF!)),DAY(Excel!#REF!)),Excel!#REF!,"&lt;/gost:vrfDate&gt;",CHAR(10),IF(Excel!#REF!=0,"",CONCATENATE("        &lt;gost:validDate&gt;",YEAR(Excel!#REF!),"-",IF(MONTH(Excel!#REF!)&lt;10,CONCATENATE(0,MONTH(Excel!#REF!)),MONTH(Excel!#REF!)),"-",IF(DAY(Excel!#REF!)&lt;10,CONCATENATE(0,DAY(Excel!#REF!)),DAY(Excel!#REF!)),Excel!#REF!,"&lt;/gost:validDate&gt;",CHAR(10))),"        &lt;gost:type&gt;",IF(Excel!#REF!="первичная",1,IF(Excel!#REF!="периодическая",2)),"&lt;/gost:type&gt;",CHAR(10),"        &lt;gost:calibration&gt;",Excel!#REF!,"&lt;/gost:calibration&gt;",CHAR(10),IF(Excel!#REF!=0,CONCATENATE("        &lt;gost:applicable&gt;",CHAR(10),IF(Excel!#REF!=0,"",CONCATENATE("            &lt;gost:stickerNum&gt;",Excel!#REF!,"&lt;/gost:stickerNum&gt;",CHAR(10))),"            &lt;gost:signPass&gt;",Excel!#REF!,"&lt;/gost:signPass&gt;",CHAR(10),"            &lt;gost:signMi&gt;",Excel!#REF!,"&lt;/gost:signMi&gt;",CHAR(10),"        &lt;/gost:applicable&gt;"),CONCATENATE("        &lt;gost:inapplicable&gt;",CHAR(10),"            &lt;gost:reasons&gt;",Excel!#REF!,"&lt;/gost:reasons&gt;",CHAR(10),"        &lt;/gost:inapplicable&gt;")),CHAR(10),"        &lt;gost:docTitle&gt;",Excel!#REF!,"&lt;/gost:docTitle&gt;",CHAR(10),IF(Excel!#REF!=0,"",CONCATENATE("        &lt;gost:metrologist&gt;",Excel!#REF!,"&lt;/gost:metrologist&gt;",CHAR(10))))</f>
        <v>#REF!</v>
      </c>
      <c r="C1" t="e">
        <f>CONCATENATE("        &lt;gost:means&gt;",CHAR(10),IF(Excel!#REF!=0,"",CONCATENATE("            &lt;gost:npe&gt;",CHAR(10),"                &lt;gost:number&gt;",SUBSTITUTE(Excel!#REF!,", ",CONCATENATE("&lt;/gost:number&gt;",CHAR(10),"                &lt;gost:number&gt;")),"&lt;/gost:number&gt;",CHAR(10),"            &lt;/gost:npe&gt;",CHAR(10))),IF(Excel!#REF!=0,"",CONCATENATE("            &lt;gost:uve&gt;",CHAR(10),"                &lt;gost:number&gt;",SUBSTITUTE(Excel!#REF!,", ",CONCATENATE("&lt;/gost:number&gt;",CHAR(10),"                &lt;gost:number&gt;")),"&lt;/gost:number&gt;",CHAR(10),"            &lt;/gost:uve&gt;",CHAR(10))),IF(Excel!#REF!=0,"",CONCATENATE("            &lt;gost:ses&gt;",CHAR(10),"                &lt;gost:se&gt;",CHAR(10),"                    &lt;gost:typeNum&gt;",SUBSTITUTE(SUBSTITUTE(Excel!#REF!,"/",CONCATENATE("&lt;/gost:typeNum&gt;",CHAR(10),"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&lt;/gost:ses&gt;",CHAR(10))),IF(Excel!#REF!=0,"",CONCATENATE("            &lt;gost:mieta&gt;",CHAR(10),"                &lt;gost:number&gt;",SUBSTITUTE(Excel!#REF!,", ",CONCATENATE("&lt;/gost:number&gt;",CHAR(10),"                &lt;gost:number&gt;")),"&lt;/gost:number&gt;",CHAR(10),"            &lt;/gost:mieta&gt;",CHAR(10))),IF(Excel!#REF!=0,"",CONCATENATE("            &lt;gost:mis&gt;",CHAR(10),"                &lt;gost:mi&gt;",CHAR(10),"                    &lt;gost:typeNum&gt;",SUBSTITUTE(SUBSTITUTE(Excel!#REF!,"/",CONCATENATE("&lt;/gost:typeNum&gt;",CHAR(10),"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&lt;/gost:mis&gt;",CHAR(10),)),IF(Excel!#REF!=0,"",CONCATENATE("            &lt;gost:reagent&gt;",CHAR(10),"                &lt;gost:number&gt;",SUBSTITUTE(Excel!#REF!,", ",CONCATENATE("&lt;/gost:number&gt;",CHAR(10),"                &lt;gost:number&gt;")),"&lt;/gost:number&gt;",CHAR(10),"            &lt;/gost:reagent&gt;",CHAR(10))),IF(Excel!#REF!=0,"",CONCATENATE("            &lt;gost:oMethod&gt;",Excel!#REF!,"&lt;/gost:oMethod&gt;",CHAR(10))),"        &lt;/gost:means&gt;",CHAR(10),"        &lt;gost:conditions&gt;",CHAR(10),"            &lt;gost:temperature&gt;",Excel!#REF!,"&lt;/gost:temperature&gt;",CHAR(10),"            &lt;gost:pressure&gt;",Excel!#REF!,"&lt;/gost:pressure&gt;",CHAR(10),"            &lt;gost:hymidity&gt;",Excel!#REF!,"&lt;/gost:hymidity&gt;",CHAR(10),IF(Excel!#REF!=0,"",CONCATENATE("            &lt;gost:other&gt;",Excel!#REF!,"&lt;/gost:other&gt;",CHAR(10))),"        &lt;/gost:conditions&gt;",CHAR(10),IF(Excel!#REF!=0,"",CONCATENATE("        &lt;gost:structure&gt;",Excel!#REF!,"&lt;/gost:structure&gt;",CHAR(10))),IF(Excel!#REF!=0,"",CONCATENATE("        &lt;gost:brief_procedure&gt;",CHAR(10),"          &lt;gost:characteristics&gt;",Excel!#REF!,"&lt;/gost:characteristics&gt;",CHAR(10),"        &lt;/gost:brief_procedure&gt;",CHAR(10))),IF((Excel!#REF!=0)*AND(Excel!#REF!=0),"",IF(Excel!#REF!=0,CONCATENATE("        &lt;gost:additional_info&gt;",Excel!#REF!,"&lt;/gost:additional_info&gt;",CHAR(10)),CONCATENATE("        &lt;gost:additional_info&gt;Поверено с применением эталонов: ",Excel!#REF!,IF(Excel!#REF!=0,"",CONCATENATE(". ",Excel!#REF!)),"&lt;/gost:additional_info&gt;",CHAR(10)))),IF(Excel!#REF!=0,"",CONCATENATE("        &lt;gost:protocol gost:mimetype=",CHAR(34),IF(RIGHT(Excel!#REF!,4)=".pdf","application/pdf",IF(RIGHT(Excel!#REF!,4)=".zip","application/zip",IF(OR(RIGHT(Excel!#REF!,4)=".doc",RIGHT(Excel!#REF!,5)=".docx"),"application/msword",IF(RIGHT(Excel!#REF!,5)=".djvu","image/vnd.djvu")))),CHAR(34)," gost:filename=",CHAR(34),Excel!#REF!,CHAR(34),"&gt;",CHAR(10),"          &lt;gost:content&gt;",Excel!#REF!,"&lt;/gost:content&gt;",CHAR(10),"        &lt;/gost:protocol&gt;",CHAR(10))),"    &lt;/gost:result&gt;",CHAR(10),IF(A2=0,"&lt;/gost:application&gt;",""))</f>
        <v>#REF!</v>
      </c>
    </row>
    <row r="10" spans="1:10" x14ac:dyDescent="0.3">
      <c r="J1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Общий_макрос">
                <anchor>
                  <from>
                    <xdr:col>5</xdr:col>
                    <xdr:colOff>541020</xdr:colOff>
                    <xdr:row>6</xdr:row>
                    <xdr:rowOff>0</xdr:rowOff>
                  </from>
                  <to>
                    <xdr:col>9</xdr:col>
                    <xdr:colOff>541020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Excel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Ефименко</dc:creator>
  <cp:lastModifiedBy>User</cp:lastModifiedBy>
  <dcterms:created xsi:type="dcterms:W3CDTF">2020-07-28T11:17:00Z</dcterms:created>
  <dcterms:modified xsi:type="dcterms:W3CDTF">2025-06-02T16:16:58Z</dcterms:modified>
</cp:coreProperties>
</file>